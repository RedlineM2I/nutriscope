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334" documentId="11_9248CACD84F5E813E97046798E3E8C1851038385" xr6:coauthVersionLast="47" xr6:coauthVersionMax="47" xr10:uidLastSave="{CCE819A5-DC86-47E6-97CB-67CD25325B27}"/>
  <bookViews>
    <workbookView xWindow="240" yWindow="105" windowWidth="14805" windowHeight="8010" activeTab="1" xr2:uid="{00000000-000D-0000-FFFF-FFFF00000000}"/>
  </bookViews>
  <sheets>
    <sheet name="kpi_roi" sheetId="1" r:id="rId1"/>
    <sheet name="ado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20" i="1"/>
  <c r="C12" i="1"/>
  <c r="F14" i="1"/>
  <c r="F13" i="1"/>
  <c r="F12" i="1"/>
  <c r="F17" i="1"/>
  <c r="F16" i="1"/>
  <c r="F15" i="1"/>
  <c r="H15" i="1"/>
  <c r="J15" i="1" s="1"/>
  <c r="H12" i="1"/>
  <c r="J12" i="1" s="1"/>
  <c r="H18" i="1"/>
  <c r="J18" i="1" s="1"/>
  <c r="H16" i="1"/>
  <c r="J16" i="1" s="1"/>
  <c r="H13" i="1"/>
  <c r="J13" i="1" s="1"/>
  <c r="H19" i="1"/>
  <c r="J19" i="1" s="1"/>
  <c r="H17" i="1"/>
  <c r="J17" i="1" s="1"/>
  <c r="H14" i="1"/>
  <c r="J14" i="1" s="1"/>
  <c r="H20" i="1"/>
  <c r="J20" i="1" s="1"/>
  <c r="G18" i="1"/>
  <c r="I18" i="1" s="1"/>
  <c r="G16" i="1"/>
  <c r="I16" i="1" s="1"/>
  <c r="G13" i="1"/>
  <c r="I13" i="1" s="1"/>
  <c r="G19" i="1"/>
  <c r="I19" i="1" s="1"/>
  <c r="G17" i="1"/>
  <c r="I17" i="1" s="1"/>
  <c r="G14" i="1"/>
  <c r="I14" i="1" s="1"/>
  <c r="G20" i="1"/>
  <c r="I20" i="1" s="1"/>
  <c r="G12" i="1"/>
  <c r="I12" i="1" s="1"/>
  <c r="G15" i="1"/>
  <c r="I15" i="1" s="1"/>
</calcChain>
</file>

<file path=xl/sharedStrings.xml><?xml version="1.0" encoding="utf-8"?>
<sst xmlns="http://schemas.openxmlformats.org/spreadsheetml/2006/main" count="82" uniqueCount="67">
  <si>
    <t>Objectif</t>
  </si>
  <si>
    <t>KPI</t>
  </si>
  <si>
    <t>Baseline</t>
  </si>
  <si>
    <t>Cible</t>
  </si>
  <si>
    <t>Source de mesure</t>
  </si>
  <si>
    <t>Mesurer</t>
  </si>
  <si>
    <t>Scans/jour</t>
  </si>
  <si>
    <t>Logs API</t>
  </si>
  <si>
    <t>Ciblage</t>
  </si>
  <si>
    <t>Taux d'activation (nouveaux utilisateurs)</t>
  </si>
  <si>
    <t>Base abonnés</t>
  </si>
  <si>
    <t>Fidéliser</t>
  </si>
  <si>
    <t>Rétention à 30 jours</t>
  </si>
  <si>
    <t>Analytics application</t>
  </si>
  <si>
    <t>Faire changer</t>
  </si>
  <si>
    <t>Taux de substitution acceptée</t>
  </si>
  <si>
    <t>Événement "alternative choisie</t>
  </si>
  <si>
    <t>Tenir les coûts</t>
  </si>
  <si>
    <t>Coût par requête assistant*</t>
  </si>
  <si>
    <t>Facturation LLM + cloud</t>
  </si>
  <si>
    <t>*les couts estimés sont selon le prix de GPT-4o mini ; on estime pour une requête utiliser 1500 tokens en entrée et 500 en sorties, soit (1500×0,15+500×0,60)/1000000</t>
  </si>
  <si>
    <t xml:space="preserve">Satisfaire </t>
  </si>
  <si>
    <t>Note/commentaires store applications</t>
  </si>
  <si>
    <t>Notation app stores</t>
  </si>
  <si>
    <t>Scénario coûts</t>
  </si>
  <si>
    <t>Coût exploitation (€/an)</t>
  </si>
  <si>
    <t>Coût conception (€)</t>
  </si>
  <si>
    <t>Coût total an 1 (€)</t>
  </si>
  <si>
    <t>Modèle revenu</t>
  </si>
  <si>
    <t>Revenu (€/an)</t>
  </si>
  <si>
    <t>Gain net an 1 (€)</t>
  </si>
  <si>
    <t>Gain net an 2 (€)</t>
  </si>
  <si>
    <t>ROI an 1 (%)</t>
  </si>
  <si>
    <t>ROI an 2 (%)</t>
  </si>
  <si>
    <t>Pessimiste</t>
  </si>
  <si>
    <t>B2B</t>
  </si>
  <si>
    <t>Central</t>
  </si>
  <si>
    <t>Optimiste</t>
  </si>
  <si>
    <t>Freemium</t>
  </si>
  <si>
    <t>Marque blanche</t>
  </si>
  <si>
    <t>Définition</t>
  </si>
  <si>
    <t>Seuil d'alerte</t>
  </si>
  <si>
    <t>Plan de relance - usage qui plafonne</t>
  </si>
  <si>
    <t>Plan de relance - usage qui monte puis redescent</t>
  </si>
  <si>
    <t>Utilisateurs hebdomadaires actifs</t>
  </si>
  <si>
    <t>Nombre de comptes uniques ayant effectué ≥1 scan dans la semaine glissante (lundi-dimanche). Mesure collective, jamais individuelle.</t>
  </si>
  <si>
    <t>&lt;500 après 3 mois</t>
  </si>
  <si>
    <t>Campagne de réactivation ciblée (email + notification) sur les inscrits inactifs + A/B testing onboarding</t>
  </si>
  <si>
    <t>Enquête de satisfaction auprès des utilisateurs perdus + correction bugs prioritaires signalés</t>
  </si>
  <si>
    <t>% d'utilisateurs ayant scanné au jour J et qui scannent à nouveau entre J+25 et J+35. Mesure de cohorte mensuelle.</t>
  </si>
  <si>
    <t>&lt;20%</t>
  </si>
  <si>
    <t>Ajout de fonctionnalités engageantes (historique personnel, objectifs nutritionnels) + programme de parrainage</t>
  </si>
  <si>
    <t>Analyse des parcours de départ (dernier scan, produit scanné) + amélioration des alternatives proposées</t>
  </si>
  <si>
    <t>% de sessions où l'utilisateur clique sur ≥1 alternative proposée après un scan. Calculé sur toutes les sessions avec alternatives disponibles.</t>
  </si>
  <si>
    <t>&lt; 15%</t>
  </si>
  <si>
    <t>Amélioration de la pertinence des substitutions (ajout de filtres : prix, bio, marques) + test de nouveaux algorithmes de ranking</t>
  </si>
  <si>
    <t>Audit qualitatif des substitutions rejetées (produits non disponibles, alternatives moins pertinentes) + recalibrage du modèle</t>
  </si>
  <si>
    <t>Taux de produits sans score</t>
  </si>
  <si>
    <t>% de scans aboutissant à un produit sans Nutri-Score (officiel ou prédit) et sans alternative proposée. Mesuré sur l'ensemble des scans.</t>
  </si>
  <si>
    <t>&gt; 25% des scans sans score exploitable</t>
  </si>
  <si>
    <t>Extension du périmètre de produits couverts (nouveaux rayons) + accélération du pipeline de nettoyage des données</t>
  </si>
  <si>
    <t>Communication transparente sur les limites de couverture + ajout d'un message d'explication quand un produit n'est pas couvert</t>
  </si>
  <si>
    <t>Latence moyenne API (P95)</t>
  </si>
  <si>
    <t>Temps de réponse en millisecondes pour 95% des requêtes API (hors assistant conversationnel). Mesuré en continu par le tableau de bord d'exploitation.</t>
  </si>
  <si>
    <t>&gt; 800 ms de latence P95</t>
  </si>
  <si>
    <t>Optimisation des requêtes SQL + mise en cache des fiches produits les plus scannées</t>
  </si>
  <si>
    <t>Scaling vertical de l'infrastructure (montée en puissance du serveur) + audit des endpoints les plus 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</si>
</sst>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_-* #,##0.00000\ [$€-40C]_-;\-* #,##0.00000\ [$€-40C]_-;_-* &quot;-&quot;??\ [$€-40C]_-;_-@_-"/>
    <numFmt numFmtId="166" formatCode="#,##0.00\ &quot;€&quot;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charset val="1"/>
    </font>
    <font>
      <b/>
      <sz val="11"/>
      <color theme="0"/>
      <name val="Arial"/>
      <charset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0" fontId="3" fillId="0" borderId="1" xfId="0" applyFont="1" applyBorder="1"/>
    <xf numFmtId="0" fontId="4" fillId="2" borderId="1" xfId="0" applyFont="1" applyFill="1" applyBorder="1"/>
    <xf numFmtId="165" fontId="0" fillId="0" borderId="0" xfId="0" applyNumberFormat="1" applyAlignment="1">
      <alignment vertical="center"/>
    </xf>
    <xf numFmtId="0" fontId="5" fillId="0" borderId="2" xfId="0" applyFont="1" applyBorder="1" applyAlignment="1">
      <alignment vertical="center"/>
    </xf>
    <xf numFmtId="164" fontId="3" fillId="0" borderId="1" xfId="0" applyNumberFormat="1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/>
    <xf numFmtId="0" fontId="1" fillId="3" borderId="1" xfId="0" applyFont="1" applyFill="1" applyBorder="1"/>
    <xf numFmtId="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29">
    <dxf>
      <alignment vertical="center" wrapText="1"/>
    </dxf>
    <dxf>
      <alignment wrapText="1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vertical="center" wrapText="1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alignment vertical="center" wrapText="1"/>
    </dxf>
    <dxf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13" formatCode="0%"/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13" formatCode="0%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166" formatCode="#,##0.00\ &quot;€&quot;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numFmt numFmtId="166" formatCode="#,##0.00\ &quot;€&quot;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numFmt numFmtId="164" formatCode="_-* #,##0.00\ [$€-40C]_-;\-* #,##0.00\ [$€-40C]_-;_-* &quot;-&quot;??\ [$€-40C]_-;_-@_-"/>
    </dxf>
    <dxf>
      <numFmt numFmtId="164" formatCode="_-* #,##0.00\ [$€-40C]_-;\-* #,##0.00\ [$€-40C]_-;_-* &quot;-&quot;??\ [$€-40C]_-;_-@_-"/>
    </dxf>
    <dxf>
      <numFmt numFmtId="164" formatCode="_-* #,##0.00\ [$€-40C]_-;\-* #,##0.00\ [$€-40C]_-;_-* &quot;-&quot;??\ [$€-40C]_-;_-@_-"/>
    </dxf>
    <dxf>
      <numFmt numFmtId="164" formatCode="_-* #,##0.00\ [$€-40C]_-;\-* #,##0.00\ [$€-40C]_-;_-* &quot;-&quot;??\ [$€-40C]_-;_-@_-"/>
    </dxf>
    <dxf>
      <font>
        <color theme="0"/>
      </font>
      <fill>
        <patternFill patternType="solid">
          <fgColor indexed="64"/>
          <bgColor theme="4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font>
        <color rgb="FF9C0006"/>
      </font>
    </dxf>
    <dxf>
      <font>
        <b/>
        <i val="0"/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95B4C-E203-4BE2-9C67-5D4EBBD8341E}" name="Tableau1" displayName="Tableau1" ref="A1:E7" totalsRowShown="0" headerRowDxfId="26" dataDxfId="25" headerRowBorderDxfId="23" tableBorderDxfId="24">
  <autoFilter ref="A1:E7" xr:uid="{86F95B4C-E203-4BE2-9C67-5D4EBBD8341E}"/>
  <tableColumns count="5">
    <tableColumn id="1" xr3:uid="{D13DEFEB-A8CA-4C89-8F05-BC017FEBB5AE}" name="Objectif" dataDxfId="22"/>
    <tableColumn id="2" xr3:uid="{72CFB92A-BC18-4A46-9CBE-0581920E2275}" name="KPI" dataDxfId="21"/>
    <tableColumn id="3" xr3:uid="{3964F0C3-2486-42D1-A7C7-718720C91B3C}" name="Baseline" dataDxfId="20"/>
    <tableColumn id="4" xr3:uid="{8B9C393F-DF75-4DBA-B61B-9C4ED4D78214}" name="Cible" dataDxfId="19"/>
    <tableColumn id="5" xr3:uid="{C017CC5B-CBC0-41C5-A4DF-4F52C539A521}" name="Source de mesure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CC5669-FF1A-47F3-83C4-5F914C2C2D44}" name="Tableau2" displayName="Tableau2" ref="A11:J20" totalsRowShown="0" headerRowDxfId="17">
  <autoFilter ref="A11:J20" xr:uid="{9BCC5669-FF1A-47F3-83C4-5F914C2C2D44}"/>
  <sortState xmlns:xlrd2="http://schemas.microsoft.com/office/spreadsheetml/2017/richdata2" ref="A12:J20">
    <sortCondition ref="E11:E20"/>
  </sortState>
  <tableColumns count="10">
    <tableColumn id="1" xr3:uid="{66EAEFAC-9A05-4C93-8569-8EB5705E92DD}" name="Scénario coûts"/>
    <tableColumn id="2" xr3:uid="{EBA25050-FD19-4680-9004-026D8373B295}" name="Coût exploitation (€/an)" dataDxfId="16"/>
    <tableColumn id="3" xr3:uid="{612D2F5B-AA91-44AA-A23D-BA293E23A2E9}" name="Coût conception (€)" dataDxfId="15">
      <calculatedColumnFormula>216*3*45</calculatedColumnFormula>
    </tableColumn>
    <tableColumn id="4" xr3:uid="{CE7FA3E4-7DDF-44C6-ABF6-58F97B25B85B}" name="Coût total an 1 (€)" dataDxfId="14"/>
    <tableColumn id="5" xr3:uid="{8C5D9468-B535-44DE-BAB0-7C48A27170C3}" name="Modèle revenu"/>
    <tableColumn id="6" xr3:uid="{AD7683B2-A601-4009-BFF1-9F0443D943AA}" name="Revenu (€/an)" dataDxfId="13"/>
    <tableColumn id="7" xr3:uid="{4C7584FE-DDC9-4BFA-B863-FE3D80711D47}" name="Gain net an 1 (€)" dataDxfId="12"/>
    <tableColumn id="9" xr3:uid="{09E80490-C013-422D-B548-11496FD397E1}" name="Gain net an 2 (€)" dataDxfId="11">
      <calculatedColumnFormula>Tableau2[[#This Row],[Revenu (€/an)]]*2-(Tableau2[[#This Row],[Coût total an 1 (€)]]+Tableau2[[#This Row],[Coût exploitation (€/an)]])</calculatedColumnFormula>
    </tableColumn>
    <tableColumn id="10" xr3:uid="{57ECC00E-DB21-4986-9FF1-E61CF378E800}" name="ROI an 1 (%)" dataDxfId="10">
      <calculatedColumnFormula>Tableau2[[#This Row],[Gain net an 1 (€)]]/Tableau2[[#This Row],[Coût total an 1 (€)]]</calculatedColumnFormula>
    </tableColumn>
    <tableColumn id="8" xr3:uid="{F8AD19E8-9230-4375-A8CC-15B3E4A426F8}" name="ROI an 2 (%)" dataDxfId="9">
      <calculatedColumnFormula>Tableau2[[#This Row],[Gain net an 2 (€)]]/(Tableau2[[#This Row],[Coût total an 1 (€)]]+Tableau2[[#This Row],[Coût exploitation (€/an)]])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89A835-0A24-4F2F-ABDF-8BDC3163A207}" name="Tableau14" displayName="Tableau14" ref="A1:E6" totalsRowShown="0" headerRowDxfId="8" dataDxfId="7" headerRowBorderDxfId="5" tableBorderDxfId="6">
  <autoFilter ref="A1:E6" xr:uid="{3789A835-0A24-4F2F-ABDF-8BDC3163A207}"/>
  <tableColumns count="5">
    <tableColumn id="2" xr3:uid="{B3AA2638-3899-4234-867D-D550FD969CD7}" name="KPI" dataDxfId="4"/>
    <tableColumn id="1" xr3:uid="{C26E45C3-E8F3-4A66-8B16-0D237B3FB87A}" name="Définition" dataDxfId="3"/>
    <tableColumn id="4" xr3:uid="{1B6CC716-4048-481F-B41C-F6A3E2CBD391}" name="Seuil d'alerte" dataDxfId="2"/>
    <tableColumn id="3" xr3:uid="{CAEB92FD-EB42-434E-A43E-4B3D5E0183C7}" name="Plan de relance - usage qui plafonne" dataDxfId="1"/>
    <tableColumn id="5" xr3:uid="{473763B5-5FA1-41C5-8EC3-85EEA3338F17}" name="Plan de relance - usage qui monte puis redescen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E7" sqref="A1:E7"/>
    </sheetView>
  </sheetViews>
  <sheetFormatPr defaultRowHeight="20.25" customHeight="1"/>
  <cols>
    <col min="1" max="1" width="20.7109375" style="1" customWidth="1"/>
    <col min="2" max="2" width="36" style="1" customWidth="1"/>
    <col min="3" max="3" width="22.5703125" style="1" customWidth="1"/>
    <col min="4" max="4" width="20.7109375" style="1" customWidth="1"/>
    <col min="5" max="5" width="31.5703125" style="1" customWidth="1"/>
    <col min="6" max="6" width="18.7109375" style="1" customWidth="1"/>
    <col min="7" max="7" width="20" style="1" customWidth="1"/>
    <col min="8" max="8" width="21.85546875" style="1" customWidth="1"/>
    <col min="9" max="9" width="15.85546875" style="1" customWidth="1"/>
    <col min="10" max="10" width="16.140625" style="1" customWidth="1"/>
    <col min="11" max="11" width="78.140625" style="1" bestFit="1" customWidth="1"/>
    <col min="12" max="12" width="9.140625" style="1"/>
    <col min="13" max="13" width="9.5703125" style="1" bestFit="1" customWidth="1"/>
    <col min="14" max="16384" width="9.140625" style="1"/>
  </cols>
  <sheetData>
    <row r="1" spans="1:13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ht="20.25" customHeight="1">
      <c r="A2" s="1" t="s">
        <v>5</v>
      </c>
      <c r="B2" s="1" t="s">
        <v>6</v>
      </c>
      <c r="C2" s="1">
        <v>0</v>
      </c>
      <c r="D2" s="1">
        <v>50000</v>
      </c>
      <c r="E2" s="1" t="s">
        <v>7</v>
      </c>
    </row>
    <row r="3" spans="1:13" ht="20.25" customHeight="1">
      <c r="A3" s="1" t="s">
        <v>8</v>
      </c>
      <c r="B3" s="1" t="s">
        <v>9</v>
      </c>
      <c r="C3" s="1">
        <v>0</v>
      </c>
      <c r="D3" s="1">
        <v>20000</v>
      </c>
      <c r="E3" s="1" t="s">
        <v>10</v>
      </c>
    </row>
    <row r="4" spans="1:13" ht="20.25" customHeight="1">
      <c r="A4" s="1" t="s">
        <v>11</v>
      </c>
      <c r="B4" s="1" t="s">
        <v>12</v>
      </c>
      <c r="C4" s="1">
        <v>0</v>
      </c>
      <c r="D4" s="3">
        <v>0.3</v>
      </c>
      <c r="E4" s="1" t="s">
        <v>13</v>
      </c>
    </row>
    <row r="5" spans="1:13" ht="20.25" customHeight="1">
      <c r="A5" s="1" t="s">
        <v>14</v>
      </c>
      <c r="B5" s="1" t="s">
        <v>15</v>
      </c>
      <c r="C5" s="1">
        <v>0</v>
      </c>
      <c r="D5" s="3">
        <v>0.1</v>
      </c>
      <c r="E5" s="1" t="s">
        <v>16</v>
      </c>
    </row>
    <row r="6" spans="1:13" ht="20.25" customHeight="1">
      <c r="A6" s="1" t="s">
        <v>17</v>
      </c>
      <c r="B6" s="1" t="s">
        <v>18</v>
      </c>
      <c r="C6" s="6">
        <v>4.8000000000000001E-4</v>
      </c>
      <c r="D6" s="6">
        <v>4.0000000000000002E-4</v>
      </c>
      <c r="E6" s="1" t="s">
        <v>19</v>
      </c>
      <c r="G6" s="7" t="s">
        <v>20</v>
      </c>
    </row>
    <row r="7" spans="1:13" ht="20.25" customHeight="1">
      <c r="A7" s="1" t="s">
        <v>21</v>
      </c>
      <c r="B7" s="1" t="s">
        <v>22</v>
      </c>
      <c r="C7" s="1">
        <v>1</v>
      </c>
      <c r="D7" s="1">
        <v>3.8</v>
      </c>
      <c r="E7" s="1" t="s">
        <v>23</v>
      </c>
    </row>
    <row r="11" spans="1:13" ht="20.25" customHeight="1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31</v>
      </c>
      <c r="I11" s="5" t="s">
        <v>32</v>
      </c>
      <c r="J11" s="5" t="s">
        <v>33</v>
      </c>
    </row>
    <row r="12" spans="1:13" ht="20.25" customHeight="1">
      <c r="A12" s="4" t="s">
        <v>34</v>
      </c>
      <c r="B12" s="8">
        <v>8573</v>
      </c>
      <c r="C12" s="8">
        <f>216*3*45</f>
        <v>29160</v>
      </c>
      <c r="D12" s="8">
        <v>37733</v>
      </c>
      <c r="E12" s="4" t="s">
        <v>35</v>
      </c>
      <c r="F12" s="8">
        <f>2*6000</f>
        <v>12000</v>
      </c>
      <c r="G12" s="10">
        <f>Tableau2[[#This Row],[Revenu (€/an)]]-Tableau2[[#This Row],[Coût total an 1 (€)]]</f>
        <v>-25733</v>
      </c>
      <c r="H12" s="10">
        <f>Tableau2[[#This Row],[Revenu (€/an)]]*2-(Tableau2[[#This Row],[Coût total an 1 (€)]]+Tableau2[[#This Row],[Coût exploitation (€/an)]])</f>
        <v>-22306</v>
      </c>
      <c r="I12" s="9">
        <f>Tableau2[[#This Row],[Gain net an 1 (€)]]/Tableau2[[#This Row],[Coût total an 1 (€)]]</f>
        <v>-0.68197598918718361</v>
      </c>
      <c r="J12" s="9">
        <f>Tableau2[[#This Row],[Gain net an 2 (€)]]/(Tableau2[[#This Row],[Coût total an 1 (€)]]+Tableau2[[#This Row],[Coût exploitation (€/an)]])</f>
        <v>-0.4817086338703408</v>
      </c>
      <c r="M12" s="2"/>
    </row>
    <row r="13" spans="1:13" ht="20.25" customHeight="1">
      <c r="A13" s="4" t="s">
        <v>36</v>
      </c>
      <c r="B13" s="8">
        <v>6615</v>
      </c>
      <c r="C13" s="8">
        <f>216*3*45</f>
        <v>29160</v>
      </c>
      <c r="D13" s="8">
        <v>35775</v>
      </c>
      <c r="E13" s="4" t="s">
        <v>35</v>
      </c>
      <c r="F13" s="8">
        <f>3*6000</f>
        <v>18000</v>
      </c>
      <c r="G13" s="10">
        <f>Tableau2[[#This Row],[Revenu (€/an)]]-Tableau2[[#This Row],[Coût total an 1 (€)]]</f>
        <v>-17775</v>
      </c>
      <c r="H13" s="10">
        <f>Tableau2[[#This Row],[Revenu (€/an)]]*2-(Tableau2[[#This Row],[Coût total an 1 (€)]]+Tableau2[[#This Row],[Coût exploitation (€/an)]])</f>
        <v>-6390</v>
      </c>
      <c r="I13" s="9">
        <f>Tableau2[[#This Row],[Gain net an 1 (€)]]/Tableau2[[#This Row],[Coût total an 1 (€)]]</f>
        <v>-0.49685534591194969</v>
      </c>
      <c r="J13" s="9">
        <f>Tableau2[[#This Row],[Gain net an 2 (€)]]/(Tableau2[[#This Row],[Coût total an 1 (€)]]+Tableau2[[#This Row],[Coût exploitation (€/an)]])</f>
        <v>-0.15074309978768577</v>
      </c>
      <c r="M13" s="2"/>
    </row>
    <row r="14" spans="1:13" ht="20.25" customHeight="1">
      <c r="A14" s="4" t="s">
        <v>37</v>
      </c>
      <c r="B14" s="8">
        <v>5307</v>
      </c>
      <c r="C14" s="8">
        <f>216*3*45</f>
        <v>29160</v>
      </c>
      <c r="D14" s="8">
        <v>34467</v>
      </c>
      <c r="E14" s="4" t="s">
        <v>35</v>
      </c>
      <c r="F14" s="8">
        <f>4*6000</f>
        <v>24000</v>
      </c>
      <c r="G14" s="10">
        <f>Tableau2[[#This Row],[Revenu (€/an)]]-Tableau2[[#This Row],[Coût total an 1 (€)]]</f>
        <v>-10467</v>
      </c>
      <c r="H14" s="10">
        <f>Tableau2[[#This Row],[Revenu (€/an)]]*2-(Tableau2[[#This Row],[Coût total an 1 (€)]]+Tableau2[[#This Row],[Coût exploitation (€/an)]])</f>
        <v>8226</v>
      </c>
      <c r="I14" s="9">
        <f>Tableau2[[#This Row],[Gain net an 1 (€)]]/Tableau2[[#This Row],[Coût total an 1 (€)]]</f>
        <v>-0.30368178257463663</v>
      </c>
      <c r="J14" s="9">
        <f>Tableau2[[#This Row],[Gain net an 2 (€)]]/(Tableau2[[#This Row],[Coût total an 1 (€)]]+Tableau2[[#This Row],[Coût exploitation (€/an)]])</f>
        <v>0.2068185246643536</v>
      </c>
    </row>
    <row r="15" spans="1:13" ht="20.25" customHeight="1">
      <c r="A15" s="4" t="s">
        <v>34</v>
      </c>
      <c r="B15" s="8">
        <v>8573</v>
      </c>
      <c r="C15" s="8">
        <f>216*3*45</f>
        <v>29160</v>
      </c>
      <c r="D15" s="8">
        <v>37733</v>
      </c>
      <c r="E15" s="4" t="s">
        <v>38</v>
      </c>
      <c r="F15" s="8">
        <f>8000*0.05*3*12</f>
        <v>14400</v>
      </c>
      <c r="G15" s="10">
        <f>Tableau2[[#This Row],[Revenu (€/an)]]-Tableau2[[#This Row],[Coût total an 1 (€)]]</f>
        <v>-23333</v>
      </c>
      <c r="H15" s="10">
        <f>Tableau2[[#This Row],[Revenu (€/an)]]*2-(Tableau2[[#This Row],[Coût total an 1 (€)]]+Tableau2[[#This Row],[Coût exploitation (€/an)]])</f>
        <v>-17506</v>
      </c>
      <c r="I15" s="9">
        <f>Tableau2[[#This Row],[Gain net an 1 (€)]]/Tableau2[[#This Row],[Coût total an 1 (€)]]</f>
        <v>-0.61837118702462035</v>
      </c>
      <c r="J15" s="9">
        <f>Tableau2[[#This Row],[Gain net an 2 (€)]]/(Tableau2[[#This Row],[Coût total an 1 (€)]]+Tableau2[[#This Row],[Coût exploitation (€/an)]])</f>
        <v>-0.37805036064440894</v>
      </c>
      <c r="M15" s="2"/>
    </row>
    <row r="16" spans="1:13" ht="20.25" customHeight="1">
      <c r="A16" s="4" t="s">
        <v>36</v>
      </c>
      <c r="B16" s="8">
        <v>6615</v>
      </c>
      <c r="C16" s="8">
        <f>216*3*45</f>
        <v>29160</v>
      </c>
      <c r="D16" s="8">
        <v>35775</v>
      </c>
      <c r="E16" s="4" t="s">
        <v>38</v>
      </c>
      <c r="F16" s="8">
        <f>10000*0.05*3*12</f>
        <v>18000</v>
      </c>
      <c r="G16" s="10">
        <f>Tableau2[[#This Row],[Revenu (€/an)]]-Tableau2[[#This Row],[Coût total an 1 (€)]]</f>
        <v>-17775</v>
      </c>
      <c r="H16" s="10">
        <f>Tableau2[[#This Row],[Revenu (€/an)]]*2-(Tableau2[[#This Row],[Coût total an 1 (€)]]+Tableau2[[#This Row],[Coût exploitation (€/an)]])</f>
        <v>-6390</v>
      </c>
      <c r="I16" s="9">
        <f>Tableau2[[#This Row],[Gain net an 1 (€)]]/Tableau2[[#This Row],[Coût total an 1 (€)]]</f>
        <v>-0.49685534591194969</v>
      </c>
      <c r="J16" s="9">
        <f>Tableau2[[#This Row],[Gain net an 2 (€)]]/(Tableau2[[#This Row],[Coût total an 1 (€)]]+Tableau2[[#This Row],[Coût exploitation (€/an)]])</f>
        <v>-0.15074309978768577</v>
      </c>
      <c r="M16" s="2"/>
    </row>
    <row r="17" spans="1:13" ht="20.25" customHeight="1">
      <c r="A17" s="4" t="s">
        <v>37</v>
      </c>
      <c r="B17" s="8">
        <v>5307</v>
      </c>
      <c r="C17" s="8">
        <f>216*3*45</f>
        <v>29160</v>
      </c>
      <c r="D17" s="8">
        <v>34467</v>
      </c>
      <c r="E17" s="4" t="s">
        <v>38</v>
      </c>
      <c r="F17" s="8">
        <f>12000*0.05*3*12</f>
        <v>21600</v>
      </c>
      <c r="G17" s="10">
        <f>Tableau2[[#This Row],[Revenu (€/an)]]-Tableau2[[#This Row],[Coût total an 1 (€)]]</f>
        <v>-12867</v>
      </c>
      <c r="H17" s="10">
        <f>Tableau2[[#This Row],[Revenu (€/an)]]*2-(Tableau2[[#This Row],[Coût total an 1 (€)]]+Tableau2[[#This Row],[Coût exploitation (€/an)]])</f>
        <v>3426</v>
      </c>
      <c r="I17" s="9">
        <f>Tableau2[[#This Row],[Gain net an 1 (€)]]/Tableau2[[#This Row],[Coût total an 1 (€)]]</f>
        <v>-0.37331360431717298</v>
      </c>
      <c r="J17" s="9">
        <f>Tableau2[[#This Row],[Gain net an 2 (€)]]/(Tableau2[[#This Row],[Coût total an 1 (€)]]+Tableau2[[#This Row],[Coût exploitation (€/an)]])</f>
        <v>8.6136672197918235E-2</v>
      </c>
    </row>
    <row r="18" spans="1:13" ht="20.25" customHeight="1">
      <c r="A18" s="4" t="s">
        <v>34</v>
      </c>
      <c r="B18" s="8">
        <v>8573</v>
      </c>
      <c r="C18" s="8">
        <f>216*3*45</f>
        <v>29160</v>
      </c>
      <c r="D18" s="8">
        <v>37733</v>
      </c>
      <c r="E18" s="4" t="s">
        <v>39</v>
      </c>
      <c r="F18" s="8">
        <v>15000</v>
      </c>
      <c r="G18" s="10">
        <f>Tableau2[[#This Row],[Revenu (€/an)]]-Tableau2[[#This Row],[Coût total an 1 (€)]]</f>
        <v>-22733</v>
      </c>
      <c r="H18" s="10">
        <f>Tableau2[[#This Row],[Revenu (€/an)]]*2-(Tableau2[[#This Row],[Coût total an 1 (€)]]+Tableau2[[#This Row],[Coût exploitation (€/an)]])</f>
        <v>-16306</v>
      </c>
      <c r="I18" s="9">
        <f>Tableau2[[#This Row],[Gain net an 1 (€)]]/Tableau2[[#This Row],[Coût total an 1 (€)]]</f>
        <v>-0.60246998648397954</v>
      </c>
      <c r="J18" s="9">
        <f>Tableau2[[#This Row],[Gain net an 2 (€)]]/(Tableau2[[#This Row],[Coût total an 1 (€)]]+Tableau2[[#This Row],[Coût exploitation (€/an)]])</f>
        <v>-0.35213579233792597</v>
      </c>
      <c r="M18" s="2"/>
    </row>
    <row r="19" spans="1:13" ht="20.25" customHeight="1">
      <c r="A19" s="4" t="s">
        <v>36</v>
      </c>
      <c r="B19" s="8">
        <v>6615</v>
      </c>
      <c r="C19" s="8">
        <f>216*3*45</f>
        <v>29160</v>
      </c>
      <c r="D19" s="8">
        <v>35775</v>
      </c>
      <c r="E19" s="4" t="s">
        <v>39</v>
      </c>
      <c r="F19" s="8">
        <v>15000</v>
      </c>
      <c r="G19" s="10">
        <f>Tableau2[[#This Row],[Revenu (€/an)]]-Tableau2[[#This Row],[Coût total an 1 (€)]]</f>
        <v>-20775</v>
      </c>
      <c r="H19" s="10">
        <f>Tableau2[[#This Row],[Revenu (€/an)]]*2-(Tableau2[[#This Row],[Coût total an 1 (€)]]+Tableau2[[#This Row],[Coût exploitation (€/an)]])</f>
        <v>-12390</v>
      </c>
      <c r="I19" s="9">
        <f>Tableau2[[#This Row],[Gain net an 1 (€)]]/Tableau2[[#This Row],[Coût total an 1 (€)]]</f>
        <v>-0.58071278825995809</v>
      </c>
      <c r="J19" s="9">
        <f>Tableau2[[#This Row],[Gain net an 2 (€)]]/(Tableau2[[#This Row],[Coût total an 1 (€)]]+Tableau2[[#This Row],[Coût exploitation (€/an)]])</f>
        <v>-0.29228591648973817</v>
      </c>
    </row>
    <row r="20" spans="1:13" ht="20.25" customHeight="1">
      <c r="A20" s="4" t="s">
        <v>37</v>
      </c>
      <c r="B20" s="8">
        <v>5307</v>
      </c>
      <c r="C20" s="8">
        <f>216*3*45</f>
        <v>29160</v>
      </c>
      <c r="D20" s="8">
        <v>34467</v>
      </c>
      <c r="E20" s="4" t="s">
        <v>39</v>
      </c>
      <c r="F20" s="8">
        <v>15000</v>
      </c>
      <c r="G20" s="10">
        <f>Tableau2[[#This Row],[Revenu (€/an)]]-Tableau2[[#This Row],[Coût total an 1 (€)]]</f>
        <v>-19467</v>
      </c>
      <c r="H20" s="10">
        <f>Tableau2[[#This Row],[Revenu (€/an)]]*2-(Tableau2[[#This Row],[Coût total an 1 (€)]]+Tableau2[[#This Row],[Coût exploitation (€/an)]])</f>
        <v>-9774</v>
      </c>
      <c r="I20" s="9">
        <f>Tableau2[[#This Row],[Gain net an 1 (€)]]/Tableau2[[#This Row],[Coût total an 1 (€)]]</f>
        <v>-0.56480111410914791</v>
      </c>
      <c r="J20" s="9">
        <f>Tableau2[[#This Row],[Gain net an 2 (€)]]/(Tableau2[[#This Row],[Coût total an 1 (€)]]+Tableau2[[#This Row],[Coût exploitation (€/an)]])</f>
        <v>-0.245738422084779</v>
      </c>
    </row>
  </sheetData>
  <conditionalFormatting sqref="I12:J20">
    <cfRule type="cellIs" dxfId="28" priority="2" operator="greaterThan">
      <formula>0</formula>
    </cfRule>
  </conditionalFormatting>
  <conditionalFormatting sqref="I12:J20">
    <cfRule type="cellIs" dxfId="27" priority="1" operator="less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7237-4971-47D1-B1A4-3EAED4FDF4B2}">
  <dimension ref="A1:E15"/>
  <sheetViews>
    <sheetView tabSelected="1" workbookViewId="0">
      <selection activeCell="A6" sqref="A1:XFD6"/>
    </sheetView>
  </sheetViews>
  <sheetFormatPr defaultRowHeight="15"/>
  <cols>
    <col min="1" max="1" width="37.28515625" bestFit="1" customWidth="1"/>
    <col min="2" max="2" width="37.28515625" style="11" customWidth="1"/>
    <col min="3" max="3" width="22.140625" customWidth="1"/>
    <col min="4" max="4" width="28.7109375" bestFit="1" customWidth="1"/>
    <col min="5" max="5" width="32.5703125" customWidth="1"/>
  </cols>
  <sheetData>
    <row r="1" spans="1:5" s="11" customFormat="1" ht="30.75">
      <c r="A1" s="12" t="s">
        <v>1</v>
      </c>
      <c r="B1" s="12" t="s">
        <v>40</v>
      </c>
      <c r="C1" s="12" t="s">
        <v>41</v>
      </c>
      <c r="D1" s="12" t="s">
        <v>42</v>
      </c>
      <c r="E1" s="12" t="s">
        <v>43</v>
      </c>
    </row>
    <row r="2" spans="1:5" s="11" customFormat="1" ht="60.75">
      <c r="A2" s="12" t="s">
        <v>44</v>
      </c>
      <c r="B2" s="11" t="s">
        <v>45</v>
      </c>
      <c r="C2" s="12" t="s">
        <v>46</v>
      </c>
      <c r="D2" s="11" t="s">
        <v>47</v>
      </c>
      <c r="E2" s="11" t="s">
        <v>48</v>
      </c>
    </row>
    <row r="3" spans="1:5" s="11" customFormat="1" ht="76.5">
      <c r="A3" s="12" t="s">
        <v>12</v>
      </c>
      <c r="B3" s="11" t="s">
        <v>49</v>
      </c>
      <c r="C3" s="15" t="s">
        <v>50</v>
      </c>
      <c r="D3" s="11" t="s">
        <v>51</v>
      </c>
      <c r="E3" s="11" t="s">
        <v>52</v>
      </c>
    </row>
    <row r="4" spans="1:5" s="11" customFormat="1" ht="76.5">
      <c r="A4" s="12" t="s">
        <v>15</v>
      </c>
      <c r="B4" s="11" t="s">
        <v>53</v>
      </c>
      <c r="C4" s="15" t="s">
        <v>54</v>
      </c>
      <c r="D4" s="16" t="s">
        <v>55</v>
      </c>
      <c r="E4" s="16" t="s">
        <v>56</v>
      </c>
    </row>
    <row r="5" spans="1:5" s="11" customFormat="1" ht="76.5">
      <c r="A5" s="16" t="s">
        <v>57</v>
      </c>
      <c r="B5" s="16" t="s">
        <v>58</v>
      </c>
      <c r="C5" s="16" t="s">
        <v>59</v>
      </c>
      <c r="D5" s="16" t="s">
        <v>60</v>
      </c>
      <c r="E5" s="16" t="s">
        <v>61</v>
      </c>
    </row>
    <row r="6" spans="1:5" s="11" customFormat="1" ht="60.75">
      <c r="A6" s="16" t="s">
        <v>62</v>
      </c>
      <c r="B6" s="16" t="s">
        <v>63</v>
      </c>
      <c r="C6" s="16" t="s">
        <v>64</v>
      </c>
      <c r="D6" s="16" t="s">
        <v>65</v>
      </c>
      <c r="E6" s="16" t="s">
        <v>66</v>
      </c>
    </row>
    <row r="10" spans="1:5">
      <c r="A10" s="14"/>
      <c r="B10" s="14"/>
      <c r="C10" s="14"/>
      <c r="D10" s="14"/>
      <c r="E10" s="14"/>
    </row>
    <row r="11" spans="1:5">
      <c r="A11" s="13"/>
      <c r="B11" s="13"/>
      <c r="C11" s="13"/>
      <c r="D11" s="13"/>
      <c r="E11" s="13"/>
    </row>
    <row r="12" spans="1:5">
      <c r="A12" s="13"/>
      <c r="B12" s="13"/>
      <c r="C12" s="13"/>
      <c r="D12" s="13"/>
      <c r="E12" s="13"/>
    </row>
    <row r="13" spans="1:5">
      <c r="A13" s="13"/>
      <c r="B13" s="13"/>
      <c r="C13" s="13"/>
      <c r="D13" s="13"/>
      <c r="E13" s="13"/>
    </row>
    <row r="14" spans="1:5">
      <c r="A14" s="13"/>
      <c r="B14" s="13"/>
      <c r="C14" s="13"/>
      <c r="D14" s="13"/>
      <c r="E14" s="13"/>
    </row>
    <row r="15" spans="1:5">
      <c r="A15" s="13"/>
      <c r="B15" s="13"/>
      <c r="C15" s="13"/>
      <c r="D15" s="13"/>
      <c r="E15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MARQUIS</cp:lastModifiedBy>
  <cp:revision/>
  <dcterms:created xsi:type="dcterms:W3CDTF">2026-09-15T07:30:12Z</dcterms:created>
  <dcterms:modified xsi:type="dcterms:W3CDTF">2026-09-17T10:21:16Z</dcterms:modified>
  <cp:category/>
  <cp:contentStatus/>
</cp:coreProperties>
</file>